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Test Ca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Status column uses a data-validation dropdown: Not Executed / Pass / Fail / Blocked. Conditional formatting auto-colors the cell based on the selected value.</t>
        </r>
      </text>
    </comment>
  </commentList>
</comments>
</file>

<file path=xl/sharedStrings.xml><?xml version="1.0" encoding="utf-8"?>
<sst xmlns="http://schemas.openxmlformats.org/spreadsheetml/2006/main" count="331" uniqueCount="254">
  <si>
    <t xml:space="preserve">SOFTWARE TESTING — TEST CASE DOCUMENT</t>
  </si>
  <si>
    <t xml:space="preserve">Employee Management System (Nexus HR)</t>
  </si>
  <si>
    <t xml:space="preserve">React (Vite) + MockAPI Employee CRUD Module — QA Test Suite</t>
  </si>
  <si>
    <t xml:space="preserve">Document Information</t>
  </si>
  <si>
    <t xml:space="preserve">Project Name</t>
  </si>
  <si>
    <t xml:space="preserve">Employee Management System — Nexus HR</t>
  </si>
  <si>
    <t xml:space="preserve">Module Under Test</t>
  </si>
  <si>
    <t xml:space="preserve">Employee CRUD, Authentication, Dashboard</t>
  </si>
  <si>
    <t xml:space="preserve">Tech Stack</t>
  </si>
  <si>
    <t xml:space="preserve">React (Vite), React Router DOM, Axios, MockAPI, Chart.js</t>
  </si>
  <si>
    <t xml:space="preserve">Data Source</t>
  </si>
  <si>
    <t xml:space="preserve">MockAPI endpoint — /employee resource</t>
  </si>
  <si>
    <t xml:space="preserve">Document Type</t>
  </si>
  <si>
    <t xml:space="preserve">Functional, Validation &amp; Edge-Case Test Cases</t>
  </si>
  <si>
    <t xml:space="preserve">Prepared For</t>
  </si>
  <si>
    <t xml:space="preserve">College Project Presentation</t>
  </si>
  <si>
    <t xml:space="preserve">Version</t>
  </si>
  <si>
    <t xml:space="preserve">1.0</t>
  </si>
  <si>
    <t xml:space="preserve">Status</t>
  </si>
  <si>
    <t xml:space="preserve">Ready for Review</t>
  </si>
  <si>
    <t xml:space="preserve">Scope: This suite covers employee record creation, read/list, update, delete, login authentication, and field-level validation. Several test cases below are written directly against irregularities observed in the live MockAPI dataset (e.g. inconsistent field types, duplicate records, placeholder values), which is a realistic and presentation-friendly way to demonstrate real-world QA thinking.</t>
  </si>
  <si>
    <t xml:space="preserve">TEST CASES — EMPLOYEE MANAGEMENT SYSTEM (NEXUS HR)</t>
  </si>
  <si>
    <t xml:space="preserve">Module: Employee CRUD | Authentication | Dashboard   |   Data Source: MockAPI /employee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</si>
  <si>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</si>
  <si>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</si>
  <si>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</si>
  <si>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</si>
  <si>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</si>
  <si>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</si>
  <si>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</si>
  <si>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</si>
  <si>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</si>
  <si>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Priority</t>
  </si>
  <si>
    <t xml:space="preserve">Tested By</t>
  </si>
  <si>
    <t xml:space="preserve">Remarks</t>
  </si>
  <si>
    <t xml:space="preserve">TC-001</t>
  </si>
  <si>
    <t xml:space="preserve">Authentication</t>
  </si>
  <si>
    <t xml:space="preserve">Valid login</t>
  </si>
  <si>
    <t xml:space="preserve">Verify a user can log in with a correct email and password</t>
  </si>
  <si>
    <t xml:space="preserve">Employee record exists in MockAPI with status = active</t>
  </si>
  <si>
    <t xml:space="preserve">1. Open login page
2. Enter registered email
3. Enter correct password
4. Click Login</t>
  </si>
  <si>
    <t xml:space="preserve">Email: sarah.j@company.com
Password: pass123</t>
  </si>
  <si>
    <t xml:space="preserve">User is authenticated and redirected to the dashboard</t>
  </si>
  <si>
    <t xml:space="preserve">Not Executed</t>
  </si>
  <si>
    <t xml:space="preserve">High</t>
  </si>
  <si>
    <t xml:space="preserve">Baseline happy-path case</t>
  </si>
  <si>
    <t xml:space="preserve">TC-002</t>
  </si>
  <si>
    <t xml:space="preserve">Invalid password</t>
  </si>
  <si>
    <t xml:space="preserve">Verify login is rejected when the password is incorrect</t>
  </si>
  <si>
    <t xml:space="preserve">Employee record exists in MockAPI</t>
  </si>
  <si>
    <t xml:space="preserve">1. Open login page
2. Enter registered email
3. Enter incorrect password
4. Click Login</t>
  </si>
  <si>
    <t xml:space="preserve">Email: sarah.j@company.com
Password: wrongpass</t>
  </si>
  <si>
    <t xml:space="preserve">Login fails with an appropriate error message; user stays on login page</t>
  </si>
  <si>
    <t xml:space="preserve">TC-003</t>
  </si>
  <si>
    <t xml:space="preserve">Non-existent email</t>
  </si>
  <si>
    <t xml:space="preserve">Verify login is rejected for an email not present in MockAPI</t>
  </si>
  <si>
    <t xml:space="preserve">None</t>
  </si>
  <si>
    <t xml:space="preserve">1. Open login page
2. Enter an email not in the employee list
3. Enter any password
4. Click Login</t>
  </si>
  <si>
    <t xml:space="preserve">Email: notreal@company.com
Password: pass123</t>
  </si>
  <si>
    <t xml:space="preserve">Login fails with 'user not found' style error; no crash</t>
  </si>
  <si>
    <t xml:space="preserve">Medium</t>
  </si>
  <si>
    <t xml:space="preserve">TC-004</t>
  </si>
  <si>
    <t xml:space="preserve">Weak/plaintext password exposure</t>
  </si>
  <si>
    <t xml:space="preserve">Verify passwords are not stored or displayed as plain text in the UI</t>
  </si>
  <si>
    <t xml:space="preserve">Logged in as Admin viewing employee list</t>
  </si>
  <si>
    <t xml:space="preserve">1. Log in as Admin
2. Open Employee list/detail view
3. Inspect rendered fields and network response handling</t>
  </si>
  <si>
    <t xml:space="preserve">Any employee record, e.g. id=7 (password: 4jMhL28EbX51c4Z)</t>
  </si>
  <si>
    <t xml:space="preserve">Password field is never rendered in the UI, even though it exists in the raw API payload</t>
  </si>
  <si>
    <t xml:space="preserve">Dataset stores passwords in plaintext — flag as a security finding, not just a UI bug</t>
  </si>
  <si>
    <t xml:space="preserve">TC-005</t>
  </si>
  <si>
    <t xml:space="preserve">Employee - Create</t>
  </si>
  <si>
    <t xml:space="preserve">Add new employee with valid data</t>
  </si>
  <si>
    <t xml:space="preserve">Verify a new employee record can be created with all required fields filled correctly</t>
  </si>
  <si>
    <t xml:space="preserve">Logged in as Admin</t>
  </si>
  <si>
    <t xml:space="preserve">1. Navigate to Add Employee form
2. Fill Name, Email, Phone, Department, Role, Salary
3. Click Save</t>
  </si>
  <si>
    <t xml:space="preserve">Name: Test Employee
Email: qa.newhire@company.com
Dept: Engineering
Role: QA Engineer
Salary: 60000</t>
  </si>
  <si>
    <t xml:space="preserve">Record is created via POST to MockAPI /employee and appears in the employee list</t>
  </si>
  <si>
    <t xml:space="preserve">TC-006</t>
  </si>
  <si>
    <t xml:space="preserve">Duplicate employee creation</t>
  </si>
  <si>
    <t xml:space="preserve">Verify system behavior when creating an employee with an email that already exists</t>
  </si>
  <si>
    <t xml:space="preserve">An employee with email test.employee@company.com already exists (id 22)</t>
  </si>
  <si>
    <t xml:space="preserve">1. Navigate to Add Employee form
2. Enter the same email as an existing employee (test.employee@company.com)
3. Click Save</t>
  </si>
  <si>
    <t xml:space="preserve">Email: test.employee@company.com (duplicate of records id=22 and id=23)</t>
  </si>
  <si>
    <t xml:space="preserve">System either blocks duplicate creation with a validation message, or the team explicitly confirms duplicates are allowed</t>
  </si>
  <si>
    <t xml:space="preserve">Live dataset already has two identical 'Test Employee' records (id 22 &amp; 23) — good real-world evidence for this test</t>
  </si>
  <si>
    <t xml:space="preserve">TC-007</t>
  </si>
  <si>
    <t xml:space="preserve">Missing required field (Name)</t>
  </si>
  <si>
    <t xml:space="preserve">Verify form validation blocks submission when the Name field is left empty</t>
  </si>
  <si>
    <t xml:space="preserve">Logged in as Admin, on Add Employee form</t>
  </si>
  <si>
    <t xml:space="preserve">1. Leave Name field blank
2. Fill remaining fields
3. Click Save</t>
  </si>
  <si>
    <t xml:space="preserve">Name: (empty)
Email: valid@company.com</t>
  </si>
  <si>
    <t xml:space="preserve">Form shows inline validation error; record is not submitted to MockAPI</t>
  </si>
  <si>
    <t xml:space="preserve">TC-008</t>
  </si>
  <si>
    <t xml:space="preserve">Invalid email format</t>
  </si>
  <si>
    <t xml:space="preserve">Verify form validation rejects a malformed email address</t>
  </si>
  <si>
    <t xml:space="preserve">1. Enter an invalid email (no @ symbol)
2. Fill remaining fields
3. Click Save</t>
  </si>
  <si>
    <t xml:space="preserve">Email: sarahjohnsoncompany.com</t>
  </si>
  <si>
    <t xml:space="preserve">Validation error shown; record is not created</t>
  </si>
  <si>
    <t xml:space="preserve">TC-009</t>
  </si>
  <si>
    <t xml:space="preserve">Negative or zero salary</t>
  </si>
  <si>
    <t xml:space="preserve">Verify the form rejects a negative or zero salary value</t>
  </si>
  <si>
    <t xml:space="preserve">1. Enter salary as -5000
2. Fill remaining required fields
3. Click Save</t>
  </si>
  <si>
    <t xml:space="preserve">Salary: -5000</t>
  </si>
  <si>
    <t xml:space="preserve">Validation error shown for salary field; record not created</t>
  </si>
  <si>
    <t xml:space="preserve">Live data has salary=10 for id=8 and salary=19 for two records — confirm whether that low a value is intentional/seed data or a real bug</t>
  </si>
  <si>
    <t xml:space="preserve">TC-010</t>
  </si>
  <si>
    <t xml:space="preserve">Salary submitted as text</t>
  </si>
  <si>
    <t xml:space="preserve">Verify the system handles a salary value entered as a non-numeric string</t>
  </si>
  <si>
    <t xml:space="preserve">1. Enter salary field as 'sixty thousand'
2. Fill remaining fields
3. Click Save</t>
  </si>
  <si>
    <t xml:space="preserve">Salary: 'sixty thousand'</t>
  </si>
  <si>
    <t xml:space="preserve">Field rejects non-numeric input or coerces/validates before submission; no unhandled type error</t>
  </si>
  <si>
    <t xml:space="preserve">Source JSON already mixes numeric (68000) and string ('60000') salary values across records — this is a real inconsistency to test against</t>
  </si>
  <si>
    <t xml:space="preserve">TC-011</t>
  </si>
  <si>
    <t xml:space="preserve">Employee - Read</t>
  </si>
  <si>
    <t xml:space="preserve">View employee list</t>
  </si>
  <si>
    <t xml:space="preserve">Verify all employee records load and display correctly on the Employees page</t>
  </si>
  <si>
    <t xml:space="preserve">MockAPI /employee endpoint is reachable and returns data</t>
  </si>
  <si>
    <t xml:space="preserve">1. Log in
2. Navigate to Employees page</t>
  </si>
  <si>
    <t xml:space="preserve">N/A</t>
  </si>
  <si>
    <t xml:space="preserve">All employee records render in a table/grid with name, department, role and status visible</t>
  </si>
  <si>
    <t xml:space="preserve">TC-012</t>
  </si>
  <si>
    <t xml:space="preserve">View employee with array-type skills field</t>
  </si>
  <si>
    <t xml:space="preserve">Verify the UI correctly renders a record where 'skills' is stored as an array</t>
  </si>
  <si>
    <t xml:space="preserve">Employee record id=2 has skills as an array (['skills 2'])</t>
  </si>
  <si>
    <t xml:space="preserve">1. Open employee detail view for Sarah Johnson (id=2)</t>
  </si>
  <si>
    <t xml:space="preserve">id: 2, skills: ['skills 2']</t>
  </si>
  <si>
    <t xml:space="preserve">Skills render correctly as a list without throwing a rendering error</t>
  </si>
  <si>
    <t xml:space="preserve">Field-type inconsistency confirmed in source data: id=2 uses an array, most other records use a plain string</t>
  </si>
  <si>
    <t xml:space="preserve">TC-013</t>
  </si>
  <si>
    <t xml:space="preserve">View employee with string-type skills field</t>
  </si>
  <si>
    <t xml:space="preserve">Verify the UI correctly renders a record where 'skills' is stored as a plain string instead of an array</t>
  </si>
  <si>
    <t xml:space="preserve">Employee record id=3 has skills as a string ('skills 3')</t>
  </si>
  <si>
    <t xml:space="preserve">1. Open employee detail view for Mike Davis (id=3)</t>
  </si>
  <si>
    <t xml:space="preserve">id: 3, skills: 'skills 3'</t>
  </si>
  <si>
    <t xml:space="preserve">Skills render correctly as text without a JavaScript type error (e.g. '.map is not a function')</t>
  </si>
  <si>
    <t xml:space="preserve">This is a real and common React bug source when a component assumes .map() on skills</t>
  </si>
  <si>
    <t xml:space="preserve">TC-014</t>
  </si>
  <si>
    <t xml:space="preserve">Empty state for missing optional fields</t>
  </si>
  <si>
    <t xml:space="preserve">Verify the UI gracefully handles empty string values for address and PAN</t>
  </si>
  <si>
    <t xml:space="preserve">Employee record id=22/23 has address='' and pan=''</t>
  </si>
  <si>
    <t xml:space="preserve">1. Open employee detail view for id=22</t>
  </si>
  <si>
    <t xml:space="preserve">address: '' , pan: ''</t>
  </si>
  <si>
    <t xml:space="preserve">UI shows a placeholder (e.g. '—' or 'Not provided') instead of a blank/broken layout</t>
  </si>
  <si>
    <t xml:space="preserve">Low</t>
  </si>
  <si>
    <t xml:space="preserve">TC-015</t>
  </si>
  <si>
    <t xml:space="preserve">Filter/search employee list by department</t>
  </si>
  <si>
    <t xml:space="preserve">Verify the employee list can be filtered by department</t>
  </si>
  <si>
    <t xml:space="preserve">Multiple departments exist in the dataset (Design, Marketing, HR, Engineering, etc.)</t>
  </si>
  <si>
    <t xml:space="preserve">1. Navigate to Employees page
2. Apply department filter = 'Engineering'</t>
  </si>
  <si>
    <t xml:space="preserve">Filter: Department = Engineering</t>
  </si>
  <si>
    <t xml:space="preserve">Only employees in the Engineering department are displayed</t>
  </si>
  <si>
    <t xml:space="preserve">TC-016</t>
  </si>
  <si>
    <t xml:space="preserve">Employee - Update</t>
  </si>
  <si>
    <t xml:space="preserve">Edit employee details successfully</t>
  </si>
  <si>
    <t xml:space="preserve">Verify an existing employee's details can be updated and saved</t>
  </si>
  <si>
    <t xml:space="preserve">Employee id=4 (Emily Brown) exists</t>
  </si>
  <si>
    <t xml:space="preserve">1. Open employee id=4
2. Click Edit
3. Change Role field
4. Click Save</t>
  </si>
  <si>
    <t xml:space="preserve">Role changed from 'HR Manager' to 'Senior HR Manager'</t>
  </si>
  <si>
    <t xml:space="preserve">Record is updated via PUT/PATCH to MockAPI and the new role reflects on the list and detail views</t>
  </si>
  <si>
    <t xml:space="preserve">TC-017</t>
  </si>
  <si>
    <t xml:space="preserve">Update status field with placeholder value</t>
  </si>
  <si>
    <t xml:space="preserve">Verify editing a record whose current status is a placeholder string (not a real status)</t>
  </si>
  <si>
    <t xml:space="preserve">Employee id=6 has status = 'status 6' (not 'active'/'inactive')</t>
  </si>
  <si>
    <t xml:space="preserve">1. Open employee id=6 (Jason Dicki)
2. Open Edit form
3. Observe how the current status value is displayed in the status field/dropdown</t>
  </si>
  <si>
    <t xml:space="preserve">status: 'status 6'</t>
  </si>
  <si>
    <t xml:space="preserve">Edit form either maps the unrecognized value to a default, or displays it without crashing the dropdown component</t>
  </si>
  <si>
    <t xml:space="preserve">Multiple seed records (ids 6–21) use placeholder statuses like 'status 6', 'status 7' instead of real values — good candidate for a data-integrity bug report</t>
  </si>
  <si>
    <t xml:space="preserve">TC-018</t>
  </si>
  <si>
    <t xml:space="preserve">Cancel edit without saving</t>
  </si>
  <si>
    <t xml:space="preserve">Verify that navigating away from the edit form without saving does not persist changes</t>
  </si>
  <si>
    <t xml:space="preserve">Employee id=3 exists</t>
  </si>
  <si>
    <t xml:space="preserve">1. Open employee id=3
2. Click Edit
3. Change the Role field
4. Click Cancel/navigate away without saving</t>
  </si>
  <si>
    <t xml:space="preserve">Role changed but not saved</t>
  </si>
  <si>
    <t xml:space="preserve">Original record in MockAPI remains unchanged</t>
  </si>
  <si>
    <t xml:space="preserve">TC-019</t>
  </si>
  <si>
    <t xml:space="preserve">Employee - Delete</t>
  </si>
  <si>
    <t xml:space="preserve">Delete an employee record</t>
  </si>
  <si>
    <t xml:space="preserve">Verify an employee record can be deleted and no longer appears in the list</t>
  </si>
  <si>
    <t xml:space="preserve">Employee id=23 (duplicate 'Test Employee') exists</t>
  </si>
  <si>
    <t xml:space="preserve">1. Open employee list
2. Select id=23
3. Click Delete
4. Confirm deletion</t>
  </si>
  <si>
    <t xml:space="preserve">id: 23</t>
  </si>
  <si>
    <t xml:space="preserve">Record is removed via DELETE call to MockAPI and disappears from the employee list</t>
  </si>
  <si>
    <t xml:space="preserve">Good opportunity to clean up the duplicate test records (22 &amp; 23) as part of this test</t>
  </si>
  <si>
    <t xml:space="preserve">TC-020</t>
  </si>
  <si>
    <t xml:space="preserve">Cancel a delete confirmation</t>
  </si>
  <si>
    <t xml:space="preserve">Verify clicking Cancel on the delete confirmation dialog does not remove the record</t>
  </si>
  <si>
    <t xml:space="preserve">Any existing employee record, e.g. id=9</t>
  </si>
  <si>
    <t xml:space="preserve">1. Select employee id=9
2. Click Delete
3. Click Cancel on the confirmation prompt</t>
  </si>
  <si>
    <t xml:space="preserve">id: 9</t>
  </si>
  <si>
    <t xml:space="preserve">Record remains in MockAPI and in the employee list</t>
  </si>
  <si>
    <t xml:space="preserve">TC-021</t>
  </si>
  <si>
    <t xml:space="preserve">Delete a non-existent employee (already removed)</t>
  </si>
  <si>
    <t xml:space="preserve">Verify graceful handling when attempting to delete a record that no longer exists on the server</t>
  </si>
  <si>
    <t xml:space="preserve">Record was already deleted in another session/tab</t>
  </si>
  <si>
    <t xml:space="preserve">1. Open two tabs on the same employee record
2. Delete it from Tab A
3. Attempt to delete the same record from Tab B</t>
  </si>
  <si>
    <t xml:space="preserve">id: (already-deleted record)</t>
  </si>
  <si>
    <t xml:space="preserve">Tab B shows a clear error (e.g. 'record not found') instead of a silent failure or app crash</t>
  </si>
  <si>
    <t xml:space="preserve">TC-022</t>
  </si>
  <si>
    <t xml:space="preserve">Data Validation</t>
  </si>
  <si>
    <t xml:space="preserve">Duplicate bank account numbers across records</t>
  </si>
  <si>
    <t xml:space="preserve">Verify the system flags or prevents two different employees from sharing the same bank account number</t>
  </si>
  <si>
    <t xml:space="preserve">Bank account numbers in the dataset appear unique per record</t>
  </si>
  <si>
    <t xml:space="preserve">1. Create/edit an employee
2. Enter a bank account number that already exists on another employee record
3. Save</t>
  </si>
  <si>
    <t xml:space="preserve">bankaccount: an existing value, e.g. '87081568' (already used by id=2)</t>
  </si>
  <si>
    <t xml:space="preserve">System warns of a duplicate bank account or explicitly allows it per business rule</t>
  </si>
  <si>
    <t xml:space="preserve">Confirm with the team whether bank account uniqueness is a real business rule before marking this a defect</t>
  </si>
  <si>
    <t xml:space="preserve">TC-023</t>
  </si>
  <si>
    <t xml:space="preserve">Inconsistent field naming: bankaccount vs bankAccount</t>
  </si>
  <si>
    <t xml:space="preserve">Verify the frontend reads/writes a single consistent field name for bank account across all records</t>
  </si>
  <si>
    <t xml:space="preserve">Records id=22 and id=23 contain BOTH 'bankaccount' and 'bankAccount' keys</t>
  </si>
  <si>
    <t xml:space="preserve">1. Open employee id=22 detail/edit view
2. Check which bank account value is displayed and which is submitted on save</t>
  </si>
  <si>
    <t xml:space="preserve">id=22: bankaccount='80559719', bankAccount=''</t>
  </si>
  <si>
    <t xml:space="preserve">UI consistently uses one field (documented convention) and does not silently overwrite valid data with an empty duplicate key on save</t>
  </si>
  <si>
    <t xml:space="preserve">This is a genuine schema inconsistency in the live data — strong example of an API/data-contract bug for the presentation</t>
  </si>
  <si>
    <t xml:space="preserve">TC-024</t>
  </si>
  <si>
    <t xml:space="preserve">Employee type placeholder values</t>
  </si>
  <si>
    <t xml:space="preserve">Verify the Employee Type dropdown handles a stored value that isn't one of the defined options</t>
  </si>
  <si>
    <t xml:space="preserve">Employee id=7 has employeeType = 'employeeType 7' instead of e.g. 'Full-Time'/'Part-Time'</t>
  </si>
  <si>
    <t xml:space="preserve">1. Open employee id=7
2. Open Edit form
3. Inspect Employee Type field</t>
  </si>
  <si>
    <t xml:space="preserve">employeeType: 'employeeType 7'</t>
  </si>
  <si>
    <t xml:space="preserve">Dropdown does not silently blank out or select the wrong option; unrecognized values are handled predictably</t>
  </si>
  <si>
    <t xml:space="preserve">TC-025</t>
  </si>
  <si>
    <t xml:space="preserve">Join date in the future</t>
  </si>
  <si>
    <t xml:space="preserve">Verify handling of a joinDate value that is later than the current system date</t>
  </si>
  <si>
    <t xml:space="preserve">Employee id=7 has joinDate = 2026-05-15 and id=8 has joinDate = 2026-06-07</t>
  </si>
  <si>
    <t xml:space="preserve">1. Open employee id=8
2. View Join Date field on detail page</t>
  </si>
  <si>
    <t xml:space="preserve">joinDate: 2026-06-07</t>
  </si>
  <si>
    <t xml:space="preserve">Date renders correctly; if business rule disallows future joinDates, form validation should block entering one going forward</t>
  </si>
  <si>
    <t xml:space="preserve">TC-026</t>
  </si>
  <si>
    <t xml:space="preserve">Phone number format inconsistency</t>
  </si>
  <si>
    <t xml:space="preserve">Verify the UI displays varied real-world phone formats (extensions, dashes, dots, parentheses) without breaking layout</t>
  </si>
  <si>
    <t xml:space="preserve">Dataset contains multiple formats, e.g. '979.393.2892', '562-910-7816 x513', '(400) 667-6899'</t>
  </si>
  <si>
    <t xml:space="preserve">1. Open employee list
2. Review Phone column across several records with differing formats</t>
  </si>
  <si>
    <t xml:space="preserve">Phone values from ids 6, 7, 9</t>
  </si>
  <si>
    <t xml:space="preserve">All formats display fully and legibly; no truncation or layout break</t>
  </si>
  <si>
    <t xml:space="preserve">TC-027</t>
  </si>
  <si>
    <t xml:space="preserve">Performance</t>
  </si>
  <si>
    <t xml:space="preserve">Load employee list with full dataset</t>
  </si>
  <si>
    <t xml:space="preserve">Verify the employee list page loads within an acceptable time with the full MockAPI dataset</t>
  </si>
  <si>
    <t xml:space="preserve">MockAPI /employee returns all ~23 records</t>
  </si>
  <si>
    <t xml:space="preserve">1. Clear cache
2. Navigate to Employees page
3. Measure time to fully rendered list</t>
  </si>
  <si>
    <t xml:space="preserve">Page loads and renders the full list within an agreed performance budget (e.g. under 2 seconds)</t>
  </si>
  <si>
    <t xml:space="preserve">Low priority at current data volume, but worth including to show performance thinking in the presentation</t>
  </si>
  <si>
    <t xml:space="preserve">TEST EXECUTION SUMMARY</t>
  </si>
  <si>
    <t xml:space="preserve">Metric</t>
  </si>
  <si>
    <t xml:space="preserve">Total Test Cases</t>
  </si>
  <si>
    <t xml:space="preserve">Passed</t>
  </si>
  <si>
    <t xml:space="preserve">Failed</t>
  </si>
  <si>
    <t xml:space="preserve">Blocked</t>
  </si>
  <si>
    <t xml:space="preserve">High Priority Cases</t>
  </si>
  <si>
    <t xml:space="preserve">Medium Priority Cases</t>
  </si>
  <si>
    <t xml:space="preserve">Low Priority Cases</t>
  </si>
  <si>
    <t xml:space="preserve">Pass Rate (%)</t>
  </si>
  <si>
    <t xml:space="preserve">Update the Status column on the 'Test Cases' sheet as each test is executed — these totals and the chart recalculate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</si>
</sst>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b val="true"/>
      <sz val="15"/>
      <color rgb="FF404040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9"/>
      <color rgb="FF9C6500"/>
      <name val="Calibri"/>
      <family val="0"/>
      <charset val="1"/>
    </font>
    <font>
      <b val="true"/>
      <sz val="9"/>
      <color rgb="FF006100"/>
      <name val="Calibri"/>
      <family val="0"/>
      <charset val="1"/>
    </font>
    <font>
      <sz val="10"/>
      <name val="Arial"/>
      <family val="2"/>
    </font>
    <font>
      <b val="true"/>
      <sz val="16"/>
      <color rgb="FF1F3864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7F7F7F"/>
      <rgbColor rgb="FF9999FF"/>
      <rgbColor rgb="FFC0504D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70AD47"/>
      <rgbColor rgb="FF1F3864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Summary!$B$7:$B$10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Not Executed</c:v>
                </c:pt>
              </c:strCache>
            </c:strRef>
          </c:cat>
          <c:val>
            <c:numRef>
              <c:f>Summary!$D$7:$D$10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130680</xdr:rowOff>
    </xdr:from>
    <xdr:to>
      <xdr:col>4</xdr:col>
      <xdr:colOff>231480</xdr:colOff>
      <xdr:row>30</xdr:row>
      <xdr:rowOff>153000</xdr:rowOff>
    </xdr:to>
    <xdr:graphicFrame>
      <xdr:nvGraphicFramePr>
        <xdr:cNvPr id="0" name="Chart 1"/>
        <xdr:cNvGraphicFramePr/>
      </xdr:nvGraphicFramePr>
      <xdr:xfrm>
        <a:off x="281880" y="3352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6" min="4" style="0" width="22"/>
    <col collapsed="false" customWidth="true" hidden="false" outlineLevel="0" max="7" min="7" style="0" width="4"/>
  </cols>
  <sheetData>
    <row r="3" customFormat="false" ht="24.45" hidden="false" customHeight="false" outlineLevel="0" collapsed="false">
      <c r="B3" s="1" t="s">
        <v>0</v>
      </c>
      <c r="C3" s="1"/>
      <c r="D3" s="1"/>
      <c r="E3" s="1"/>
      <c r="F3" s="1"/>
    </row>
    <row r="5" customFormat="false" ht="18.55" hidden="false" customHeight="false" outlineLevel="0" collapsed="false">
      <c r="B5" s="2" t="s">
        <v>1</v>
      </c>
      <c r="C5" s="2"/>
      <c r="D5" s="2"/>
      <c r="E5" s="2"/>
      <c r="F5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</row>
    <row r="8" customFormat="false" ht="15" hidden="false" customHeight="false" outlineLevel="0" collapsed="false">
      <c r="B8" s="4" t="s">
        <v>3</v>
      </c>
      <c r="C8" s="4"/>
      <c r="D8" s="4"/>
      <c r="E8" s="4"/>
      <c r="F8" s="4"/>
    </row>
    <row r="9" customFormat="false" ht="15" hidden="false" customHeight="true" outlineLevel="0" collapsed="false">
      <c r="B9" s="5" t="s">
        <v>4</v>
      </c>
      <c r="C9" s="5"/>
      <c r="D9" s="6" t="s">
        <v>5</v>
      </c>
      <c r="E9" s="6"/>
      <c r="F9" s="6"/>
    </row>
    <row r="10" customFormat="false" ht="15" hidden="false" customHeight="true" outlineLevel="0" collapsed="false">
      <c r="B10" s="5" t="s">
        <v>6</v>
      </c>
      <c r="C10" s="5"/>
      <c r="D10" s="6" t="s">
        <v>7</v>
      </c>
      <c r="E10" s="6"/>
      <c r="F10" s="6"/>
    </row>
    <row r="11" customFormat="false" ht="15" hidden="false" customHeight="true" outlineLevel="0" collapsed="false">
      <c r="B11" s="5" t="s">
        <v>8</v>
      </c>
      <c r="C11" s="5"/>
      <c r="D11" s="6" t="s">
        <v>9</v>
      </c>
      <c r="E11" s="6"/>
      <c r="F11" s="6"/>
    </row>
    <row r="12" customFormat="false" ht="15" hidden="false" customHeight="true" outlineLevel="0" collapsed="false">
      <c r="B12" s="5" t="s">
        <v>10</v>
      </c>
      <c r="C12" s="5"/>
      <c r="D12" s="6" t="s">
        <v>11</v>
      </c>
      <c r="E12" s="6"/>
      <c r="F12" s="6"/>
    </row>
    <row r="13" customFormat="false" ht="15" hidden="false" customHeight="true" outlineLevel="0" collapsed="false">
      <c r="B13" s="5" t="s">
        <v>12</v>
      </c>
      <c r="C13" s="5"/>
      <c r="D13" s="6" t="s">
        <v>13</v>
      </c>
      <c r="E13" s="6"/>
      <c r="F13" s="6"/>
    </row>
    <row r="14" customFormat="false" ht="15" hidden="false" customHeight="true" outlineLevel="0" collapsed="false">
      <c r="B14" s="5" t="s">
        <v>14</v>
      </c>
      <c r="C14" s="5"/>
      <c r="D14" s="6" t="s">
        <v>15</v>
      </c>
      <c r="E14" s="6"/>
      <c r="F14" s="6"/>
    </row>
    <row r="15" customFormat="false" ht="15" hidden="false" customHeight="true" outlineLevel="0" collapsed="false">
      <c r="B15" s="5" t="s">
        <v>16</v>
      </c>
      <c r="C15" s="5"/>
      <c r="D15" s="6" t="s">
        <v>17</v>
      </c>
      <c r="E15" s="6"/>
      <c r="F15" s="6"/>
    </row>
    <row r="16" customFormat="false" ht="15" hidden="false" customHeight="true" outlineLevel="0" collapsed="false">
      <c r="B16" s="5" t="s">
        <v>18</v>
      </c>
      <c r="C16" s="5"/>
      <c r="D16" s="6" t="s">
        <v>19</v>
      </c>
      <c r="E16" s="6"/>
      <c r="F16" s="6"/>
    </row>
    <row r="18" customFormat="false" ht="60" hidden="false" customHeight="true" outlineLevel="0" collapsed="false">
      <c r="B18" s="7" t="s">
        <v>20</v>
      </c>
      <c r="C18" s="7"/>
      <c r="D18" s="7"/>
      <c r="E18" s="7"/>
      <c r="F18" s="7"/>
    </row>
  </sheetData>
  <mergeCells count="21">
    <mergeCell ref="B3:F3"/>
    <mergeCell ref="B5:F5"/>
    <mergeCell ref="B6:F6"/>
    <mergeCell ref="B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2"/>
  </cols>
  <sheetData>
    <row r="1" customFormat="false" ht="21.75" hidden="false" customHeight="true" outlineLevel="0" collapsed="false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.75" hidden="false" customHeight="true" outlineLevel="0" collapsed="false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30" hidden="false" customHeight="tru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  <c r="J3" s="10" t="s">
        <v>18</v>
      </c>
      <c r="K3" s="10" t="s">
        <v>32</v>
      </c>
      <c r="L3" s="10" t="s">
        <v>33</v>
      </c>
      <c r="M3" s="10" t="s">
        <v>34</v>
      </c>
    </row>
    <row r="4" customFormat="false" ht="69.75" hidden="false" customHeight="true" outlineLevel="0" collapsed="false">
      <c r="A4" s="11" t="s">
        <v>35</v>
      </c>
      <c r="B4" s="12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/>
      <c r="J4" s="12" t="s">
        <v>43</v>
      </c>
      <c r="K4" s="14" t="s">
        <v>44</v>
      </c>
      <c r="L4" s="13"/>
      <c r="M4" s="13" t="s">
        <v>45</v>
      </c>
    </row>
    <row r="5" customFormat="false" ht="69.75" hidden="false" customHeight="true" outlineLevel="0" collapsed="false">
      <c r="A5" s="15" t="s">
        <v>46</v>
      </c>
      <c r="B5" s="16" t="s">
        <v>36</v>
      </c>
      <c r="C5" s="17" t="s">
        <v>47</v>
      </c>
      <c r="D5" s="17" t="s">
        <v>48</v>
      </c>
      <c r="E5" s="17" t="s">
        <v>49</v>
      </c>
      <c r="F5" s="17" t="s">
        <v>50</v>
      </c>
      <c r="G5" s="17" t="s">
        <v>51</v>
      </c>
      <c r="H5" s="17" t="s">
        <v>52</v>
      </c>
      <c r="I5" s="17"/>
      <c r="J5" s="16" t="s">
        <v>43</v>
      </c>
      <c r="K5" s="14" t="s">
        <v>44</v>
      </c>
      <c r="L5" s="17"/>
      <c r="M5" s="17"/>
    </row>
    <row r="6" customFormat="false" ht="69.75" hidden="false" customHeight="true" outlineLevel="0" collapsed="false">
      <c r="A6" s="11" t="s">
        <v>53</v>
      </c>
      <c r="B6" s="12" t="s">
        <v>36</v>
      </c>
      <c r="C6" s="13" t="s">
        <v>54</v>
      </c>
      <c r="D6" s="13" t="s">
        <v>55</v>
      </c>
      <c r="E6" s="13" t="s">
        <v>56</v>
      </c>
      <c r="F6" s="13" t="s">
        <v>57</v>
      </c>
      <c r="G6" s="13" t="s">
        <v>58</v>
      </c>
      <c r="H6" s="13" t="s">
        <v>59</v>
      </c>
      <c r="I6" s="13"/>
      <c r="J6" s="12" t="s">
        <v>43</v>
      </c>
      <c r="K6" s="18" t="s">
        <v>60</v>
      </c>
      <c r="L6" s="13"/>
      <c r="M6" s="13"/>
    </row>
    <row r="7" customFormat="false" ht="69.75" hidden="false" customHeight="true" outlineLevel="0" collapsed="false">
      <c r="A7" s="15" t="s">
        <v>61</v>
      </c>
      <c r="B7" s="16" t="s">
        <v>36</v>
      </c>
      <c r="C7" s="17" t="s">
        <v>62</v>
      </c>
      <c r="D7" s="17" t="s">
        <v>63</v>
      </c>
      <c r="E7" s="17" t="s">
        <v>64</v>
      </c>
      <c r="F7" s="17" t="s">
        <v>65</v>
      </c>
      <c r="G7" s="17" t="s">
        <v>66</v>
      </c>
      <c r="H7" s="17" t="s">
        <v>67</v>
      </c>
      <c r="I7" s="17"/>
      <c r="J7" s="16" t="s">
        <v>43</v>
      </c>
      <c r="K7" s="14" t="s">
        <v>44</v>
      </c>
      <c r="L7" s="17"/>
      <c r="M7" s="17" t="s">
        <v>68</v>
      </c>
    </row>
    <row r="8" customFormat="false" ht="69.75" hidden="false" customHeight="true" outlineLevel="0" collapsed="false">
      <c r="A8" s="11" t="s">
        <v>69</v>
      </c>
      <c r="B8" s="12" t="s">
        <v>70</v>
      </c>
      <c r="C8" s="13" t="s">
        <v>71</v>
      </c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/>
      <c r="J8" s="12" t="s">
        <v>43</v>
      </c>
      <c r="K8" s="14" t="s">
        <v>44</v>
      </c>
      <c r="L8" s="13"/>
      <c r="M8" s="13"/>
    </row>
    <row r="9" customFormat="false" ht="69.75" hidden="false" customHeight="true" outlineLevel="0" collapsed="false">
      <c r="A9" s="15" t="s">
        <v>77</v>
      </c>
      <c r="B9" s="16" t="s">
        <v>70</v>
      </c>
      <c r="C9" s="17" t="s">
        <v>78</v>
      </c>
      <c r="D9" s="17" t="s">
        <v>79</v>
      </c>
      <c r="E9" s="17" t="s">
        <v>80</v>
      </c>
      <c r="F9" s="17" t="s">
        <v>81</v>
      </c>
      <c r="G9" s="17" t="s">
        <v>82</v>
      </c>
      <c r="H9" s="17" t="s">
        <v>83</v>
      </c>
      <c r="I9" s="17"/>
      <c r="J9" s="16" t="s">
        <v>43</v>
      </c>
      <c r="K9" s="14" t="s">
        <v>44</v>
      </c>
      <c r="L9" s="17"/>
      <c r="M9" s="17" t="s">
        <v>84</v>
      </c>
    </row>
    <row r="10" customFormat="false" ht="69.75" hidden="false" customHeight="true" outlineLevel="0" collapsed="false">
      <c r="A10" s="11" t="s">
        <v>85</v>
      </c>
      <c r="B10" s="12" t="s">
        <v>70</v>
      </c>
      <c r="C10" s="13" t="s">
        <v>86</v>
      </c>
      <c r="D10" s="13" t="s">
        <v>87</v>
      </c>
      <c r="E10" s="13" t="s">
        <v>88</v>
      </c>
      <c r="F10" s="13" t="s">
        <v>89</v>
      </c>
      <c r="G10" s="13" t="s">
        <v>90</v>
      </c>
      <c r="H10" s="13" t="s">
        <v>91</v>
      </c>
      <c r="I10" s="13"/>
      <c r="J10" s="12" t="s">
        <v>43</v>
      </c>
      <c r="K10" s="14" t="s">
        <v>44</v>
      </c>
      <c r="L10" s="13"/>
      <c r="M10" s="13"/>
    </row>
    <row r="11" customFormat="false" ht="69.75" hidden="false" customHeight="true" outlineLevel="0" collapsed="false">
      <c r="A11" s="15" t="s">
        <v>92</v>
      </c>
      <c r="B11" s="16" t="s">
        <v>70</v>
      </c>
      <c r="C11" s="17" t="s">
        <v>93</v>
      </c>
      <c r="D11" s="17" t="s">
        <v>94</v>
      </c>
      <c r="E11" s="17" t="s">
        <v>88</v>
      </c>
      <c r="F11" s="17" t="s">
        <v>95</v>
      </c>
      <c r="G11" s="17" t="s">
        <v>96</v>
      </c>
      <c r="H11" s="17" t="s">
        <v>97</v>
      </c>
      <c r="I11" s="17"/>
      <c r="J11" s="16" t="s">
        <v>43</v>
      </c>
      <c r="K11" s="18" t="s">
        <v>60</v>
      </c>
      <c r="L11" s="17"/>
      <c r="M11" s="17"/>
    </row>
    <row r="12" customFormat="false" ht="69.75" hidden="false" customHeight="true" outlineLevel="0" collapsed="false">
      <c r="A12" s="11" t="s">
        <v>98</v>
      </c>
      <c r="B12" s="12" t="s">
        <v>70</v>
      </c>
      <c r="C12" s="13" t="s">
        <v>99</v>
      </c>
      <c r="D12" s="13" t="s">
        <v>100</v>
      </c>
      <c r="E12" s="13" t="s">
        <v>88</v>
      </c>
      <c r="F12" s="13" t="s">
        <v>101</v>
      </c>
      <c r="G12" s="13" t="s">
        <v>102</v>
      </c>
      <c r="H12" s="13" t="s">
        <v>103</v>
      </c>
      <c r="I12" s="13"/>
      <c r="J12" s="12" t="s">
        <v>43</v>
      </c>
      <c r="K12" s="18" t="s">
        <v>60</v>
      </c>
      <c r="L12" s="13"/>
      <c r="M12" s="13" t="s">
        <v>104</v>
      </c>
    </row>
    <row r="13" customFormat="false" ht="69.75" hidden="false" customHeight="true" outlineLevel="0" collapsed="false">
      <c r="A13" s="15" t="s">
        <v>105</v>
      </c>
      <c r="B13" s="16" t="s">
        <v>70</v>
      </c>
      <c r="C13" s="17" t="s">
        <v>106</v>
      </c>
      <c r="D13" s="17" t="s">
        <v>107</v>
      </c>
      <c r="E13" s="17" t="s">
        <v>88</v>
      </c>
      <c r="F13" s="17" t="s">
        <v>108</v>
      </c>
      <c r="G13" s="17" t="s">
        <v>109</v>
      </c>
      <c r="H13" s="17" t="s">
        <v>110</v>
      </c>
      <c r="I13" s="17"/>
      <c r="J13" s="16" t="s">
        <v>43</v>
      </c>
      <c r="K13" s="18" t="s">
        <v>60</v>
      </c>
      <c r="L13" s="17"/>
      <c r="M13" s="17" t="s">
        <v>111</v>
      </c>
    </row>
    <row r="14" customFormat="false" ht="69.75" hidden="false" customHeight="true" outlineLevel="0" collapsed="false">
      <c r="A14" s="11" t="s">
        <v>112</v>
      </c>
      <c r="B14" s="12" t="s">
        <v>113</v>
      </c>
      <c r="C14" s="13" t="s">
        <v>114</v>
      </c>
      <c r="D14" s="13" t="s">
        <v>115</v>
      </c>
      <c r="E14" s="13" t="s">
        <v>116</v>
      </c>
      <c r="F14" s="13" t="s">
        <v>117</v>
      </c>
      <c r="G14" s="13" t="s">
        <v>118</v>
      </c>
      <c r="H14" s="13" t="s">
        <v>119</v>
      </c>
      <c r="I14" s="13"/>
      <c r="J14" s="12" t="s">
        <v>43</v>
      </c>
      <c r="K14" s="14" t="s">
        <v>44</v>
      </c>
      <c r="L14" s="13"/>
      <c r="M14" s="13"/>
    </row>
    <row r="15" customFormat="false" ht="69.75" hidden="false" customHeight="true" outlineLevel="0" collapsed="false">
      <c r="A15" s="15" t="s">
        <v>120</v>
      </c>
      <c r="B15" s="16" t="s">
        <v>113</v>
      </c>
      <c r="C15" s="17" t="s">
        <v>121</v>
      </c>
      <c r="D15" s="17" t="s">
        <v>122</v>
      </c>
      <c r="E15" s="17" t="s">
        <v>123</v>
      </c>
      <c r="F15" s="17" t="s">
        <v>124</v>
      </c>
      <c r="G15" s="17" t="s">
        <v>125</v>
      </c>
      <c r="H15" s="17" t="s">
        <v>126</v>
      </c>
      <c r="I15" s="17"/>
      <c r="J15" s="16" t="s">
        <v>43</v>
      </c>
      <c r="K15" s="18" t="s">
        <v>60</v>
      </c>
      <c r="L15" s="17"/>
      <c r="M15" s="17" t="s">
        <v>127</v>
      </c>
    </row>
    <row r="16" customFormat="false" ht="69.75" hidden="false" customHeight="true" outlineLevel="0" collapsed="false">
      <c r="A16" s="11" t="s">
        <v>128</v>
      </c>
      <c r="B16" s="12" t="s">
        <v>113</v>
      </c>
      <c r="C16" s="13" t="s">
        <v>129</v>
      </c>
      <c r="D16" s="13" t="s">
        <v>130</v>
      </c>
      <c r="E16" s="13" t="s">
        <v>131</v>
      </c>
      <c r="F16" s="13" t="s">
        <v>132</v>
      </c>
      <c r="G16" s="13" t="s">
        <v>133</v>
      </c>
      <c r="H16" s="13" t="s">
        <v>134</v>
      </c>
      <c r="I16" s="13"/>
      <c r="J16" s="12" t="s">
        <v>43</v>
      </c>
      <c r="K16" s="14" t="s">
        <v>44</v>
      </c>
      <c r="L16" s="13"/>
      <c r="M16" s="13" t="s">
        <v>135</v>
      </c>
    </row>
    <row r="17" customFormat="false" ht="69.75" hidden="false" customHeight="true" outlineLevel="0" collapsed="false">
      <c r="A17" s="15" t="s">
        <v>136</v>
      </c>
      <c r="B17" s="16" t="s">
        <v>113</v>
      </c>
      <c r="C17" s="17" t="s">
        <v>137</v>
      </c>
      <c r="D17" s="17" t="s">
        <v>138</v>
      </c>
      <c r="E17" s="17" t="s">
        <v>139</v>
      </c>
      <c r="F17" s="17" t="s">
        <v>140</v>
      </c>
      <c r="G17" s="17" t="s">
        <v>141</v>
      </c>
      <c r="H17" s="17" t="s">
        <v>142</v>
      </c>
      <c r="I17" s="17"/>
      <c r="J17" s="16" t="s">
        <v>43</v>
      </c>
      <c r="K17" s="19" t="s">
        <v>143</v>
      </c>
      <c r="L17" s="17"/>
      <c r="M17" s="17"/>
    </row>
    <row r="18" customFormat="false" ht="69.75" hidden="false" customHeight="true" outlineLevel="0" collapsed="false">
      <c r="A18" s="11" t="s">
        <v>144</v>
      </c>
      <c r="B18" s="12" t="s">
        <v>113</v>
      </c>
      <c r="C18" s="13" t="s">
        <v>145</v>
      </c>
      <c r="D18" s="13" t="s">
        <v>146</v>
      </c>
      <c r="E18" s="13" t="s">
        <v>147</v>
      </c>
      <c r="F18" s="13" t="s">
        <v>148</v>
      </c>
      <c r="G18" s="13" t="s">
        <v>149</v>
      </c>
      <c r="H18" s="13" t="s">
        <v>150</v>
      </c>
      <c r="I18" s="13"/>
      <c r="J18" s="12" t="s">
        <v>43</v>
      </c>
      <c r="K18" s="18" t="s">
        <v>60</v>
      </c>
      <c r="L18" s="13"/>
      <c r="M18" s="13"/>
    </row>
    <row r="19" customFormat="false" ht="69.75" hidden="false" customHeight="true" outlineLevel="0" collapsed="false">
      <c r="A19" s="15" t="s">
        <v>151</v>
      </c>
      <c r="B19" s="16" t="s">
        <v>152</v>
      </c>
      <c r="C19" s="17" t="s">
        <v>153</v>
      </c>
      <c r="D19" s="17" t="s">
        <v>154</v>
      </c>
      <c r="E19" s="17" t="s">
        <v>155</v>
      </c>
      <c r="F19" s="17" t="s">
        <v>156</v>
      </c>
      <c r="G19" s="17" t="s">
        <v>157</v>
      </c>
      <c r="H19" s="17" t="s">
        <v>158</v>
      </c>
      <c r="I19" s="17"/>
      <c r="J19" s="16" t="s">
        <v>43</v>
      </c>
      <c r="K19" s="14" t="s">
        <v>44</v>
      </c>
      <c r="L19" s="17"/>
      <c r="M19" s="17"/>
    </row>
    <row r="20" customFormat="false" ht="69.75" hidden="false" customHeight="true" outlineLevel="0" collapsed="false">
      <c r="A20" s="11" t="s">
        <v>159</v>
      </c>
      <c r="B20" s="12" t="s">
        <v>152</v>
      </c>
      <c r="C20" s="13" t="s">
        <v>160</v>
      </c>
      <c r="D20" s="13" t="s">
        <v>161</v>
      </c>
      <c r="E20" s="13" t="s">
        <v>162</v>
      </c>
      <c r="F20" s="13" t="s">
        <v>163</v>
      </c>
      <c r="G20" s="13" t="s">
        <v>164</v>
      </c>
      <c r="H20" s="13" t="s">
        <v>165</v>
      </c>
      <c r="I20" s="13"/>
      <c r="J20" s="12" t="s">
        <v>43</v>
      </c>
      <c r="K20" s="18" t="s">
        <v>60</v>
      </c>
      <c r="L20" s="13"/>
      <c r="M20" s="13" t="s">
        <v>166</v>
      </c>
    </row>
    <row r="21" customFormat="false" ht="69.75" hidden="false" customHeight="true" outlineLevel="0" collapsed="false">
      <c r="A21" s="15" t="s">
        <v>167</v>
      </c>
      <c r="B21" s="16" t="s">
        <v>152</v>
      </c>
      <c r="C21" s="17" t="s">
        <v>168</v>
      </c>
      <c r="D21" s="17" t="s">
        <v>169</v>
      </c>
      <c r="E21" s="17" t="s">
        <v>170</v>
      </c>
      <c r="F21" s="17" t="s">
        <v>171</v>
      </c>
      <c r="G21" s="17" t="s">
        <v>172</v>
      </c>
      <c r="H21" s="17" t="s">
        <v>173</v>
      </c>
      <c r="I21" s="17"/>
      <c r="J21" s="16" t="s">
        <v>43</v>
      </c>
      <c r="K21" s="19" t="s">
        <v>143</v>
      </c>
      <c r="L21" s="17"/>
      <c r="M21" s="17"/>
    </row>
    <row r="22" customFormat="false" ht="69.75" hidden="false" customHeight="true" outlineLevel="0" collapsed="false">
      <c r="A22" s="11" t="s">
        <v>174</v>
      </c>
      <c r="B22" s="12" t="s">
        <v>175</v>
      </c>
      <c r="C22" s="13" t="s">
        <v>176</v>
      </c>
      <c r="D22" s="13" t="s">
        <v>177</v>
      </c>
      <c r="E22" s="13" t="s">
        <v>178</v>
      </c>
      <c r="F22" s="13" t="s">
        <v>179</v>
      </c>
      <c r="G22" s="13" t="s">
        <v>180</v>
      </c>
      <c r="H22" s="13" t="s">
        <v>181</v>
      </c>
      <c r="I22" s="13"/>
      <c r="J22" s="12" t="s">
        <v>43</v>
      </c>
      <c r="K22" s="14" t="s">
        <v>44</v>
      </c>
      <c r="L22" s="13"/>
      <c r="M22" s="13" t="s">
        <v>182</v>
      </c>
    </row>
    <row r="23" customFormat="false" ht="69.75" hidden="false" customHeight="true" outlineLevel="0" collapsed="false">
      <c r="A23" s="15" t="s">
        <v>183</v>
      </c>
      <c r="B23" s="16" t="s">
        <v>175</v>
      </c>
      <c r="C23" s="17" t="s">
        <v>184</v>
      </c>
      <c r="D23" s="17" t="s">
        <v>185</v>
      </c>
      <c r="E23" s="17" t="s">
        <v>186</v>
      </c>
      <c r="F23" s="17" t="s">
        <v>187</v>
      </c>
      <c r="G23" s="17" t="s">
        <v>188</v>
      </c>
      <c r="H23" s="17" t="s">
        <v>189</v>
      </c>
      <c r="I23" s="17"/>
      <c r="J23" s="16" t="s">
        <v>43</v>
      </c>
      <c r="K23" s="18" t="s">
        <v>60</v>
      </c>
      <c r="L23" s="17"/>
      <c r="M23" s="17"/>
    </row>
    <row r="24" customFormat="false" ht="69.75" hidden="false" customHeight="true" outlineLevel="0" collapsed="false">
      <c r="A24" s="11" t="s">
        <v>190</v>
      </c>
      <c r="B24" s="12" t="s">
        <v>175</v>
      </c>
      <c r="C24" s="13" t="s">
        <v>191</v>
      </c>
      <c r="D24" s="13" t="s">
        <v>192</v>
      </c>
      <c r="E24" s="13" t="s">
        <v>193</v>
      </c>
      <c r="F24" s="13" t="s">
        <v>194</v>
      </c>
      <c r="G24" s="13" t="s">
        <v>195</v>
      </c>
      <c r="H24" s="13" t="s">
        <v>196</v>
      </c>
      <c r="I24" s="13"/>
      <c r="J24" s="12" t="s">
        <v>43</v>
      </c>
      <c r="K24" s="19" t="s">
        <v>143</v>
      </c>
      <c r="L24" s="13"/>
      <c r="M24" s="13"/>
    </row>
    <row r="25" customFormat="false" ht="69.75" hidden="false" customHeight="true" outlineLevel="0" collapsed="false">
      <c r="A25" s="15" t="s">
        <v>197</v>
      </c>
      <c r="B25" s="16" t="s">
        <v>198</v>
      </c>
      <c r="C25" s="17" t="s">
        <v>199</v>
      </c>
      <c r="D25" s="17" t="s">
        <v>200</v>
      </c>
      <c r="E25" s="17" t="s">
        <v>201</v>
      </c>
      <c r="F25" s="17" t="s">
        <v>202</v>
      </c>
      <c r="G25" s="17" t="s">
        <v>203</v>
      </c>
      <c r="H25" s="17" t="s">
        <v>204</v>
      </c>
      <c r="I25" s="17"/>
      <c r="J25" s="16" t="s">
        <v>43</v>
      </c>
      <c r="K25" s="18" t="s">
        <v>60</v>
      </c>
      <c r="L25" s="17"/>
      <c r="M25" s="17" t="s">
        <v>205</v>
      </c>
    </row>
    <row r="26" customFormat="false" ht="69.75" hidden="false" customHeight="true" outlineLevel="0" collapsed="false">
      <c r="A26" s="11" t="s">
        <v>206</v>
      </c>
      <c r="B26" s="12" t="s">
        <v>198</v>
      </c>
      <c r="C26" s="13" t="s">
        <v>207</v>
      </c>
      <c r="D26" s="13" t="s">
        <v>208</v>
      </c>
      <c r="E26" s="13" t="s">
        <v>209</v>
      </c>
      <c r="F26" s="13" t="s">
        <v>210</v>
      </c>
      <c r="G26" s="13" t="s">
        <v>211</v>
      </c>
      <c r="H26" s="13" t="s">
        <v>212</v>
      </c>
      <c r="I26" s="13"/>
      <c r="J26" s="12" t="s">
        <v>43</v>
      </c>
      <c r="K26" s="14" t="s">
        <v>44</v>
      </c>
      <c r="L26" s="13"/>
      <c r="M26" s="13" t="s">
        <v>213</v>
      </c>
    </row>
    <row r="27" customFormat="false" ht="69.75" hidden="false" customHeight="true" outlineLevel="0" collapsed="false">
      <c r="A27" s="15" t="s">
        <v>214</v>
      </c>
      <c r="B27" s="16" t="s">
        <v>198</v>
      </c>
      <c r="C27" s="17" t="s">
        <v>215</v>
      </c>
      <c r="D27" s="17" t="s">
        <v>216</v>
      </c>
      <c r="E27" s="17" t="s">
        <v>217</v>
      </c>
      <c r="F27" s="17" t="s">
        <v>218</v>
      </c>
      <c r="G27" s="17" t="s">
        <v>219</v>
      </c>
      <c r="H27" s="17" t="s">
        <v>220</v>
      </c>
      <c r="I27" s="17"/>
      <c r="J27" s="16" t="s">
        <v>43</v>
      </c>
      <c r="K27" s="18" t="s">
        <v>60</v>
      </c>
      <c r="L27" s="17"/>
      <c r="M27" s="17"/>
    </row>
    <row r="28" customFormat="false" ht="69.75" hidden="false" customHeight="true" outlineLevel="0" collapsed="false">
      <c r="A28" s="11" t="s">
        <v>221</v>
      </c>
      <c r="B28" s="12" t="s">
        <v>198</v>
      </c>
      <c r="C28" s="13" t="s">
        <v>222</v>
      </c>
      <c r="D28" s="13" t="s">
        <v>223</v>
      </c>
      <c r="E28" s="13" t="s">
        <v>224</v>
      </c>
      <c r="F28" s="13" t="s">
        <v>225</v>
      </c>
      <c r="G28" s="13" t="s">
        <v>226</v>
      </c>
      <c r="H28" s="13" t="s">
        <v>227</v>
      </c>
      <c r="I28" s="13"/>
      <c r="J28" s="12" t="s">
        <v>43</v>
      </c>
      <c r="K28" s="19" t="s">
        <v>143</v>
      </c>
      <c r="L28" s="13"/>
      <c r="M28" s="13"/>
    </row>
    <row r="29" customFormat="false" ht="69.75" hidden="false" customHeight="true" outlineLevel="0" collapsed="false">
      <c r="A29" s="15" t="s">
        <v>228</v>
      </c>
      <c r="B29" s="16" t="s">
        <v>198</v>
      </c>
      <c r="C29" s="17" t="s">
        <v>229</v>
      </c>
      <c r="D29" s="17" t="s">
        <v>230</v>
      </c>
      <c r="E29" s="17" t="s">
        <v>231</v>
      </c>
      <c r="F29" s="17" t="s">
        <v>232</v>
      </c>
      <c r="G29" s="17" t="s">
        <v>233</v>
      </c>
      <c r="H29" s="17" t="s">
        <v>234</v>
      </c>
      <c r="I29" s="17"/>
      <c r="J29" s="16" t="s">
        <v>43</v>
      </c>
      <c r="K29" s="19" t="s">
        <v>143</v>
      </c>
      <c r="L29" s="17"/>
      <c r="M29" s="17"/>
    </row>
    <row r="30" customFormat="false" ht="69.75" hidden="false" customHeight="true" outlineLevel="0" collapsed="false">
      <c r="A30" s="11" t="s">
        <v>235</v>
      </c>
      <c r="B30" s="12" t="s">
        <v>236</v>
      </c>
      <c r="C30" s="13" t="s">
        <v>237</v>
      </c>
      <c r="D30" s="13" t="s">
        <v>238</v>
      </c>
      <c r="E30" s="13" t="s">
        <v>239</v>
      </c>
      <c r="F30" s="13" t="s">
        <v>240</v>
      </c>
      <c r="G30" s="13" t="s">
        <v>118</v>
      </c>
      <c r="H30" s="13" t="s">
        <v>241</v>
      </c>
      <c r="I30" s="13"/>
      <c r="J30" s="12" t="s">
        <v>43</v>
      </c>
      <c r="K30" s="19" t="s">
        <v>143</v>
      </c>
      <c r="L30" s="13"/>
      <c r="M30" s="13" t="s">
        <v>242</v>
      </c>
    </row>
  </sheetData>
  <mergeCells count="2">
    <mergeCell ref="A1:M1"/>
    <mergeCell ref="A2:M2"/>
  </mergeCells>
  <conditionalFormatting sqref="J4:J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="Please choose from the dropdown list." errorStyle="stop" errorTitle="Invalid Status" operator="between" showDropDown="false" showErrorMessage="false" showInputMessage="false" sqref="J4:J30" type="list">
      <formula1>"Not Executed,Pass,Fail,Blocked"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4"/>
  </cols>
  <sheetData>
    <row r="2" customFormat="false" ht="19.7" hidden="false" customHeight="false" outlineLevel="0" collapsed="false">
      <c r="B2" s="20" t="s">
        <v>243</v>
      </c>
      <c r="C2" s="20"/>
      <c r="D2" s="20"/>
    </row>
    <row r="3" customFormat="false" ht="15" hidden="false" customHeight="false" outlineLevel="0" collapsed="false">
      <c r="B3" s="21" t="s">
        <v>5</v>
      </c>
      <c r="C3" s="21"/>
      <c r="D3" s="21"/>
    </row>
    <row r="5" customFormat="false" ht="15" hidden="false" customHeight="false" outlineLevel="0" collapsed="false">
      <c r="B5" s="22" t="s">
        <v>244</v>
      </c>
      <c r="C5" s="22"/>
      <c r="D5" s="22"/>
    </row>
    <row r="6" customFormat="false" ht="18" hidden="false" customHeight="true" outlineLevel="0" collapsed="false">
      <c r="B6" s="5" t="s">
        <v>245</v>
      </c>
      <c r="C6" s="5"/>
      <c r="D6" s="23" t="n">
        <f aca="false">COUNTA('Test Cases'!A4:A30)</f>
        <v>27</v>
      </c>
    </row>
    <row r="7" customFormat="false" ht="18" hidden="false" customHeight="true" outlineLevel="0" collapsed="false">
      <c r="B7" s="5" t="s">
        <v>246</v>
      </c>
      <c r="C7" s="5"/>
      <c r="D7" s="23" t="n">
        <f aca="false">COUNTIF('Test Cases'!J4:J30,"Pass")</f>
        <v>0</v>
      </c>
    </row>
    <row r="8" customFormat="false" ht="18" hidden="false" customHeight="true" outlineLevel="0" collapsed="false">
      <c r="B8" s="5" t="s">
        <v>247</v>
      </c>
      <c r="C8" s="5"/>
      <c r="D8" s="23" t="n">
        <f aca="false">COUNTIF('Test Cases'!J4:J30,"Fail")</f>
        <v>0</v>
      </c>
    </row>
    <row r="9" customFormat="false" ht="18" hidden="false" customHeight="true" outlineLevel="0" collapsed="false">
      <c r="B9" s="5" t="s">
        <v>248</v>
      </c>
      <c r="C9" s="5"/>
      <c r="D9" s="23" t="n">
        <f aca="false">COUNTIF('Test Cases'!J4:J30,"Blocked")</f>
        <v>0</v>
      </c>
    </row>
    <row r="10" customFormat="false" ht="18" hidden="false" customHeight="true" outlineLevel="0" collapsed="false">
      <c r="B10" s="5" t="s">
        <v>43</v>
      </c>
      <c r="C10" s="5"/>
      <c r="D10" s="23" t="n">
        <f aca="false">COUNTIF('Test Cases'!J4:J30,"Not Executed")</f>
        <v>27</v>
      </c>
    </row>
    <row r="11" customFormat="false" ht="18" hidden="false" customHeight="true" outlineLevel="0" collapsed="false">
      <c r="B11" s="5" t="s">
        <v>249</v>
      </c>
      <c r="C11" s="5"/>
      <c r="D11" s="23" t="n">
        <f aca="false">COUNTIF('Test Cases'!K4:K30,"High")</f>
        <v>11</v>
      </c>
    </row>
    <row r="12" customFormat="false" ht="18" hidden="false" customHeight="true" outlineLevel="0" collapsed="false">
      <c r="B12" s="5" t="s">
        <v>250</v>
      </c>
      <c r="C12" s="5"/>
      <c r="D12" s="23" t="n">
        <f aca="false">COUNTIF('Test Cases'!K4:K30,"Medium")</f>
        <v>10</v>
      </c>
    </row>
    <row r="13" customFormat="false" ht="18" hidden="false" customHeight="true" outlineLevel="0" collapsed="false">
      <c r="B13" s="5" t="s">
        <v>251</v>
      </c>
      <c r="C13" s="5"/>
      <c r="D13" s="23" t="n">
        <f aca="false">COUNTIF('Test Cases'!K4:K30,"Low")</f>
        <v>6</v>
      </c>
    </row>
    <row r="15" customFormat="false" ht="15" hidden="false" customHeight="false" outlineLevel="0" collapsed="false">
      <c r="B15" s="5" t="s">
        <v>252</v>
      </c>
      <c r="C15" s="5"/>
      <c r="D15" s="24" t="n">
        <f aca="false">IFERROR(D7/D6,0)</f>
        <v>0</v>
      </c>
    </row>
    <row r="35" customFormat="false" ht="30" hidden="false" customHeight="true" outlineLevel="0" collapsed="false">
      <c r="B35" s="25" t="s">
        <v>253</v>
      </c>
      <c r="C35" s="25"/>
      <c r="D35" s="25"/>
    </row>
  </sheetData>
  <mergeCells count="13">
    <mergeCell ref="B2:D2"/>
    <mergeCell ref="B3:D3"/>
    <mergeCell ref="B5:D5"/>
    <mergeCell ref="B6:C6"/>
    <mergeCell ref="B7:C7"/>
    <mergeCell ref="B8:C8"/>
    <mergeCell ref="B9:C9"/>
    <mergeCell ref="B10:C10"/>
    <mergeCell ref="B11:C11"/>
    <mergeCell ref="B12:C12"/>
    <mergeCell ref="B13:C13"/>
    <mergeCell ref="B15:C15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2026-07-18T06:03:42Z</dcterms:created>
  <dc:creator>openpyxl</dc:creator>
  <dc:description/>
  <dc:language>en-US</dc:language>
  <cp:lastModifiedBy/>
  <dcterms:modified xsi:type="dcterms:W3CDTF">2026-07-18T06:03:47Z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